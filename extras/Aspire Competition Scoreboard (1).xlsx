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kings" sheetId="1" r:id="rId4"/>
    <sheet state="visible" name="finalsMatches" sheetId="2" r:id="rId5"/>
    <sheet state="visible" name="qualificationMatches" sheetId="3" r:id="rId6"/>
  </sheets>
  <definedNames/>
  <calcPr/>
</workbook>
</file>

<file path=xl/sharedStrings.xml><?xml version="1.0" encoding="utf-8"?>
<sst xmlns="http://schemas.openxmlformats.org/spreadsheetml/2006/main" count="85" uniqueCount="32">
  <si>
    <t>Team #</t>
  </si>
  <si>
    <t>OPR</t>
  </si>
  <si>
    <t>Auto</t>
  </si>
  <si>
    <t>Rank</t>
  </si>
  <si>
    <t>Pre Display</t>
  </si>
  <si>
    <t>Beat Person</t>
  </si>
  <si>
    <t>#00000</t>
  </si>
  <si>
    <t>#00001</t>
  </si>
  <si>
    <t>#32323</t>
  </si>
  <si>
    <t>Match #</t>
  </si>
  <si>
    <t>Red Team</t>
  </si>
  <si>
    <t>Blue Team</t>
  </si>
  <si>
    <t>Red Score</t>
  </si>
  <si>
    <t>Blue Score</t>
  </si>
  <si>
    <t>Winner</t>
  </si>
  <si>
    <t>0 OPR</t>
  </si>
  <si>
    <t>1 OPR</t>
  </si>
  <si>
    <t>32323 OPR</t>
  </si>
  <si>
    <t>0 Color</t>
  </si>
  <si>
    <t>1 color</t>
  </si>
  <si>
    <t>32323 color</t>
  </si>
  <si>
    <t>#00000 Won?</t>
  </si>
  <si>
    <t>#00001 Won?</t>
  </si>
  <si>
    <t>#32323 Won?</t>
  </si>
  <si>
    <t>AVR OPR</t>
  </si>
  <si>
    <t>Red Auton</t>
  </si>
  <si>
    <t>Blue Auton</t>
  </si>
  <si>
    <t>#00000 Auton</t>
  </si>
  <si>
    <t>#00001 Auton</t>
  </si>
  <si>
    <t>#32323 Auton</t>
  </si>
  <si>
    <t>Practice</t>
  </si>
  <si>
    <t>AVR AUTON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</si>
</sst>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2" numFmtId="0" xfId="0" applyFill="1" applyFont="1"/>
    <xf borderId="0" fillId="0" fontId="3" numFmtId="0" xfId="0" applyAlignment="1" applyFont="1">
      <alignment readingOrder="0"/>
    </xf>
    <xf borderId="0" fillId="3" fontId="4" numFmtId="0" xfId="0" applyAlignment="1" applyFill="1" applyFont="1">
      <alignment horizontal="left"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5</v>
      </c>
      <c r="K1" s="1" t="s">
        <v>5</v>
      </c>
    </row>
    <row r="2">
      <c r="A2" s="3" t="str">
        <f>IF(I2=1,F2,IF(I3=1,F3,IF(I4=1,F4,"None")))</f>
        <v>#00000</v>
      </c>
      <c r="B2" s="3">
        <f>IF(I2=1,G2,IF(I3=1,G3,IF(I4=1,G4,"None")))</f>
        <v>1.333333333</v>
      </c>
      <c r="C2" s="3">
        <f>IF(I2=1,H2,IF(I3=1,H3,IF(I4=1,H4,"None")))</f>
        <v>3.666666667</v>
      </c>
      <c r="D2" s="2">
        <v>1.0</v>
      </c>
      <c r="F2" s="2" t="s">
        <v>6</v>
      </c>
      <c r="G2" s="3">
        <f>qualificationMatches!J15</f>
        <v>1.333333333</v>
      </c>
      <c r="H2" s="3">
        <f>qualificationMatches!S15</f>
        <v>3.666666667</v>
      </c>
      <c r="I2" s="3">
        <f>IF(H2="",1,3-(J2+K2))</f>
        <v>1</v>
      </c>
      <c r="J2" s="3">
        <f t="shared" ref="J2:J3" si="1">IF(G2&gt;G3,1,IF(AND(G2=G3,H2&gt;H3),1,0))</f>
        <v>1</v>
      </c>
      <c r="K2" s="3">
        <f>IF(G2&gt;G4,1,IF(AND(G2=G4,H2&gt;H4),1,0))</f>
        <v>1</v>
      </c>
    </row>
    <row r="3">
      <c r="A3" s="3" t="str">
        <f>IF(I2=2,F2,IF(I3=2,F3,IF(I4=2,F4,"None")))</f>
        <v>#32323</v>
      </c>
      <c r="B3" s="3">
        <f>IF(I2=2,G2,IF(I3=2,G3,IF(I4=2,G4,"None")))</f>
        <v>1</v>
      </c>
      <c r="C3" s="3">
        <f>IF(I2=2,H2,IF(I3=2,H3,IF(I4=2,H4,"None")))</f>
        <v>5.333333333</v>
      </c>
      <c r="D3" s="2">
        <v>2.0</v>
      </c>
      <c r="F3" s="2" t="s">
        <v>7</v>
      </c>
      <c r="G3" s="3">
        <f>qualificationMatches!K15</f>
        <v>0.6666666667</v>
      </c>
      <c r="H3" s="3">
        <f>qualificationMatches!T15</f>
        <v>5.333333333</v>
      </c>
      <c r="I3" s="3">
        <f>IF(H3="",2,3-(J3+K3))</f>
        <v>3</v>
      </c>
      <c r="J3" s="3">
        <f t="shared" si="1"/>
        <v>0</v>
      </c>
      <c r="K3" s="3">
        <f t="shared" ref="K3:K4" si="2">IF(G3&gt;G2,1,IF(AND(G3=G2,H3&gt;H2),1,0))</f>
        <v>0</v>
      </c>
    </row>
    <row r="4">
      <c r="A4" s="3" t="str">
        <f>IF(I2=3,F2,IF(I3=3,F3,IF(I4=3,F4,"None")))</f>
        <v>#00001</v>
      </c>
      <c r="B4" s="3">
        <f>IF(I2=3,G2,IF(I3=3,G3,IF(I4=3,G4,"None")))</f>
        <v>0.6666666667</v>
      </c>
      <c r="C4" s="3">
        <f>IF(I2=3,H2,IF(I3=3,H3,IF(I4=3,H4,"None")))</f>
        <v>5.333333333</v>
      </c>
      <c r="D4" s="2">
        <v>3.0</v>
      </c>
      <c r="F4" s="2" t="s">
        <v>8</v>
      </c>
      <c r="G4" s="3">
        <f>qualificationMatches!L15</f>
        <v>1</v>
      </c>
      <c r="H4" s="3">
        <f>qualificationMatches!U15</f>
        <v>5.333333333</v>
      </c>
      <c r="I4" s="3">
        <f>IF(H4="",3,3-(J4+K4))</f>
        <v>2</v>
      </c>
      <c r="J4" s="3">
        <f>IF(G4&gt;G2,1,IF(AND(G4=G2,H4&gt;H2),1,0))</f>
        <v>0</v>
      </c>
      <c r="K4" s="3">
        <f t="shared" si="2"/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</row>
    <row r="2">
      <c r="A2" s="2">
        <v>1.0</v>
      </c>
      <c r="F2" s="3" t="str">
        <f t="shared" ref="F2:F4" si="1">IF(D2="","",IF(D2&gt;E2,"Red",IF(E2&gt;D2,"Blue","Tie")))</f>
        <v/>
      </c>
      <c r="H2" s="3" t="str">
        <f t="shared" ref="H2:H4" si="2">IF(K2="None","",IF(N2,2,IF(F2="Tie",1,0)))</f>
        <v/>
      </c>
      <c r="I2" s="3" t="str">
        <f t="shared" ref="I2:I4" si="3">IF(L2="None","",IF(O2,2,IF(F2="Tie",1,0)))</f>
        <v/>
      </c>
      <c r="J2" s="3" t="str">
        <f t="shared" ref="J2:J4" si="4">IF(M2="None","",IF(P2,2,IF(F2="Tie",1,0)))</f>
        <v/>
      </c>
      <c r="K2" s="3" t="str">
        <f t="shared" ref="K2:K4" si="5">IF(B2="#00000","Red",IF(C2="#00000","Blue","None"))</f>
        <v>None</v>
      </c>
      <c r="L2" s="3" t="str">
        <f t="shared" ref="L2:L4" si="6">IF(B2="#00001","Red",IF(C2="#00001","Blue","None"))</f>
        <v>None</v>
      </c>
      <c r="M2" s="3" t="str">
        <f t="shared" ref="M2:M4" si="7">IF(B2="#32323","Red",IF(C2="#32323","Blue","None"))</f>
        <v>None</v>
      </c>
      <c r="N2" s="3" t="b">
        <f t="shared" ref="N2:N4" si="8">OR(AND(K2="Red",F2="Red"),AND(K2="Blue",F2="Blue"))</f>
        <v>0</v>
      </c>
      <c r="O2" s="3" t="b">
        <f t="shared" ref="O2:O4" si="9">OR(AND(L2="Red",F2="Red"),AND(L2="Blue",F2="Blue"))</f>
        <v>0</v>
      </c>
      <c r="P2" s="3" t="b">
        <f t="shared" ref="P2:P4" si="10">OR(AND(M2="Red",F2="Red"),AND(M2="Blue",F2="Blue"))</f>
        <v>0</v>
      </c>
    </row>
    <row r="3">
      <c r="A3" s="2">
        <v>2.0</v>
      </c>
      <c r="F3" s="3" t="str">
        <f t="shared" si="1"/>
        <v/>
      </c>
      <c r="H3" s="3" t="str">
        <f t="shared" si="2"/>
        <v/>
      </c>
      <c r="I3" s="3" t="str">
        <f t="shared" si="3"/>
        <v/>
      </c>
      <c r="J3" s="3" t="str">
        <f t="shared" si="4"/>
        <v/>
      </c>
      <c r="K3" s="3" t="str">
        <f t="shared" si="5"/>
        <v>None</v>
      </c>
      <c r="L3" s="3" t="str">
        <f t="shared" si="6"/>
        <v>None</v>
      </c>
      <c r="M3" s="3" t="str">
        <f t="shared" si="7"/>
        <v>None</v>
      </c>
      <c r="N3" s="3" t="b">
        <f t="shared" si="8"/>
        <v>0</v>
      </c>
      <c r="O3" s="3" t="b">
        <f t="shared" si="9"/>
        <v>0</v>
      </c>
      <c r="P3" s="3" t="b">
        <f t="shared" si="10"/>
        <v>0</v>
      </c>
    </row>
    <row r="4">
      <c r="A4" s="2">
        <v>3.0</v>
      </c>
      <c r="F4" s="3" t="str">
        <f t="shared" si="1"/>
        <v/>
      </c>
      <c r="H4" s="3" t="str">
        <f t="shared" si="2"/>
        <v/>
      </c>
      <c r="I4" s="3" t="str">
        <f t="shared" si="3"/>
        <v/>
      </c>
      <c r="J4" s="3" t="str">
        <f t="shared" si="4"/>
        <v/>
      </c>
      <c r="K4" s="3" t="str">
        <f t="shared" si="5"/>
        <v>None</v>
      </c>
      <c r="L4" s="3" t="str">
        <f t="shared" si="6"/>
        <v>None</v>
      </c>
      <c r="M4" s="3" t="str">
        <f t="shared" si="7"/>
        <v>None</v>
      </c>
      <c r="N4" s="3" t="b">
        <f t="shared" si="8"/>
        <v>0</v>
      </c>
      <c r="O4" s="3" t="b">
        <f t="shared" si="9"/>
        <v>0</v>
      </c>
      <c r="P4" s="3" t="b">
        <f t="shared" si="10"/>
        <v>0</v>
      </c>
    </row>
    <row r="5">
      <c r="H5" s="1" t="s">
        <v>24</v>
      </c>
      <c r="I5" s="1" t="s">
        <v>24</v>
      </c>
      <c r="J5" s="1" t="s">
        <v>24</v>
      </c>
    </row>
    <row r="6">
      <c r="H6" s="3" t="str">
        <f t="shared" ref="H6:J6" si="11">IF(H2="","",AVERAGE(H2:H5))</f>
        <v/>
      </c>
      <c r="I6" s="3" t="str">
        <f t="shared" si="11"/>
        <v/>
      </c>
      <c r="J6" s="3" t="str">
        <f t="shared" si="11"/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25</v>
      </c>
      <c r="H1" s="1" t="s">
        <v>26</v>
      </c>
      <c r="I1" s="4"/>
      <c r="J1" s="5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27</v>
      </c>
      <c r="T1" s="1" t="s">
        <v>28</v>
      </c>
      <c r="U1" s="1" t="s">
        <v>29</v>
      </c>
    </row>
    <row r="2">
      <c r="A2" s="2">
        <v>1.0</v>
      </c>
      <c r="B2" s="6" t="s">
        <v>8</v>
      </c>
      <c r="C2" s="2" t="s">
        <v>6</v>
      </c>
      <c r="D2" s="2">
        <v>8.0</v>
      </c>
      <c r="E2" s="2">
        <v>8.0</v>
      </c>
      <c r="F2" s="3" t="str">
        <f t="shared" ref="F2:F13" si="1">IF(D2="","",IF(D2&gt;E2,"Red",IF(E2&gt;D2,"Blue","Tie")))</f>
        <v>Tie</v>
      </c>
      <c r="G2" s="2">
        <v>5.0</v>
      </c>
      <c r="H2" s="2">
        <v>6.0</v>
      </c>
      <c r="I2" s="7" t="s">
        <v>30</v>
      </c>
      <c r="J2" s="3">
        <f t="shared" ref="J2:J13" si="2">IF(M2="None","",IF(F2="","", IF(P2,2,IF(F2="Tie",1,0))))</f>
        <v>1</v>
      </c>
      <c r="K2" s="3" t="str">
        <f t="shared" ref="K2:K13" si="3">IF(N2="None","",IF(F2="","",IF(Q2,2,IF(F2="Tie",1,0))))</f>
        <v/>
      </c>
      <c r="L2" s="3">
        <f t="shared" ref="L2:L13" si="4">IF(O2="None","",IF(F2="","", IF(R2,2,IF(F2="Tie",1,0))))</f>
        <v>1</v>
      </c>
      <c r="M2" s="3" t="str">
        <f t="shared" ref="M2:M13" si="5">IF(B2="#00000","Red",IF(C2="#00000","Blue","None"))</f>
        <v>Blue</v>
      </c>
      <c r="N2" s="3" t="str">
        <f t="shared" ref="N2:N13" si="6">IF(B2="#00001","Red",IF(C2="#00001","Blue","None"))</f>
        <v>None</v>
      </c>
      <c r="O2" s="3" t="str">
        <f t="shared" ref="O2:O13" si="7">IF(B2="#32323","Red",IF(C2="#32323","Blue","None"))</f>
        <v>Red</v>
      </c>
      <c r="P2" s="3" t="b">
        <f t="shared" ref="P2:P13" si="8">OR(AND(M2="Red",F2="Red"),AND(M2="Blue",F2="Blue"))</f>
        <v>0</v>
      </c>
      <c r="Q2" s="3" t="b">
        <f t="shared" ref="Q2:Q13" si="9">OR(AND(N2="Red",F2="Red"),AND(N2="Blue",F2="Blue"))</f>
        <v>0</v>
      </c>
      <c r="R2" s="3" t="b">
        <f t="shared" ref="R2:R13" si="10">OR(AND(O2="Red",F2="Red"),AND(O2="Blue",F2="Blue"))</f>
        <v>0</v>
      </c>
      <c r="S2" s="3">
        <f t="shared" ref="S2:S13" si="11">IF(M2="Red",G2,IF(M2="Blue",H2,""))</f>
        <v>6</v>
      </c>
      <c r="T2" s="3" t="str">
        <f t="shared" ref="T2:T13" si="12">IF(N2="Red",G2,IF(N2="Blue",H2,""))</f>
        <v/>
      </c>
      <c r="U2" s="3">
        <f t="shared" ref="U2:U13" si="13">IF(O2="Red",G2,IF(O2="Blue",H2,""))</f>
        <v>5</v>
      </c>
    </row>
    <row r="3">
      <c r="A3" s="2">
        <v>2.0</v>
      </c>
      <c r="B3" s="2" t="s">
        <v>6</v>
      </c>
      <c r="C3" s="2" t="s">
        <v>7</v>
      </c>
      <c r="D3" s="2">
        <v>10.0</v>
      </c>
      <c r="E3" s="2">
        <v>9.0</v>
      </c>
      <c r="F3" s="3" t="str">
        <f t="shared" si="1"/>
        <v>Red</v>
      </c>
      <c r="G3" s="2">
        <v>100.0</v>
      </c>
      <c r="H3" s="2">
        <v>20.0</v>
      </c>
      <c r="I3" s="7" t="s">
        <v>30</v>
      </c>
      <c r="J3" s="3">
        <f t="shared" si="2"/>
        <v>2</v>
      </c>
      <c r="K3" s="3">
        <f t="shared" si="3"/>
        <v>0</v>
      </c>
      <c r="L3" s="3" t="str">
        <f t="shared" si="4"/>
        <v/>
      </c>
      <c r="M3" s="3" t="str">
        <f t="shared" si="5"/>
        <v>Red</v>
      </c>
      <c r="N3" s="3" t="str">
        <f t="shared" si="6"/>
        <v>Blue</v>
      </c>
      <c r="O3" s="3" t="str">
        <f t="shared" si="7"/>
        <v>None</v>
      </c>
      <c r="P3" s="3" t="b">
        <f t="shared" si="8"/>
        <v>1</v>
      </c>
      <c r="Q3" s="3" t="b">
        <f t="shared" si="9"/>
        <v>0</v>
      </c>
      <c r="R3" s="3" t="b">
        <f t="shared" si="10"/>
        <v>0</v>
      </c>
      <c r="S3" s="3">
        <f t="shared" si="11"/>
        <v>100</v>
      </c>
      <c r="T3" s="3">
        <f t="shared" si="12"/>
        <v>20</v>
      </c>
      <c r="U3" s="3" t="str">
        <f t="shared" si="13"/>
        <v/>
      </c>
    </row>
    <row r="4">
      <c r="A4" s="2">
        <v>3.0</v>
      </c>
      <c r="B4" s="2" t="s">
        <v>7</v>
      </c>
      <c r="C4" s="6" t="s">
        <v>8</v>
      </c>
      <c r="D4" s="2">
        <v>1.0</v>
      </c>
      <c r="E4" s="2">
        <v>6.0</v>
      </c>
      <c r="F4" s="3" t="str">
        <f t="shared" si="1"/>
        <v>Blue</v>
      </c>
      <c r="G4" s="2">
        <v>9.0</v>
      </c>
      <c r="H4" s="2">
        <v>8.0</v>
      </c>
      <c r="I4" s="7" t="s">
        <v>30</v>
      </c>
      <c r="J4" s="3" t="str">
        <f t="shared" si="2"/>
        <v/>
      </c>
      <c r="K4" s="3">
        <f t="shared" si="3"/>
        <v>0</v>
      </c>
      <c r="L4" s="3">
        <f t="shared" si="4"/>
        <v>2</v>
      </c>
      <c r="M4" s="3" t="str">
        <f t="shared" si="5"/>
        <v>None</v>
      </c>
      <c r="N4" s="3" t="str">
        <f t="shared" si="6"/>
        <v>Red</v>
      </c>
      <c r="O4" s="3" t="str">
        <f t="shared" si="7"/>
        <v>Blue</v>
      </c>
      <c r="P4" s="3" t="b">
        <f t="shared" si="8"/>
        <v>0</v>
      </c>
      <c r="Q4" s="3" t="b">
        <f t="shared" si="9"/>
        <v>0</v>
      </c>
      <c r="R4" s="3" t="b">
        <f t="shared" si="10"/>
        <v>1</v>
      </c>
      <c r="S4" s="3" t="str">
        <f t="shared" si="11"/>
        <v/>
      </c>
      <c r="T4" s="3">
        <f t="shared" si="12"/>
        <v>9</v>
      </c>
      <c r="U4" s="3">
        <f t="shared" si="13"/>
        <v>8</v>
      </c>
    </row>
    <row r="5">
      <c r="A5" s="2">
        <v>4.0</v>
      </c>
      <c r="B5" s="6" t="s">
        <v>8</v>
      </c>
      <c r="C5" s="2" t="s">
        <v>6</v>
      </c>
      <c r="D5" s="2">
        <v>3.0</v>
      </c>
      <c r="E5" s="2">
        <v>7.0</v>
      </c>
      <c r="F5" s="3" t="str">
        <f t="shared" si="1"/>
        <v>Blue</v>
      </c>
      <c r="G5" s="2">
        <v>6.0</v>
      </c>
      <c r="H5" s="2">
        <v>1.0</v>
      </c>
      <c r="I5" s="4"/>
      <c r="J5" s="3">
        <f t="shared" si="2"/>
        <v>2</v>
      </c>
      <c r="K5" s="3" t="str">
        <f t="shared" si="3"/>
        <v/>
      </c>
      <c r="L5" s="3">
        <f t="shared" si="4"/>
        <v>0</v>
      </c>
      <c r="M5" s="3" t="str">
        <f t="shared" si="5"/>
        <v>Blue</v>
      </c>
      <c r="N5" s="3" t="str">
        <f t="shared" si="6"/>
        <v>None</v>
      </c>
      <c r="O5" s="3" t="str">
        <f t="shared" si="7"/>
        <v>Red</v>
      </c>
      <c r="P5" s="3" t="b">
        <f t="shared" si="8"/>
        <v>1</v>
      </c>
      <c r="Q5" s="3" t="b">
        <f t="shared" si="9"/>
        <v>0</v>
      </c>
      <c r="R5" s="3" t="b">
        <f t="shared" si="10"/>
        <v>0</v>
      </c>
      <c r="S5" s="3">
        <f t="shared" si="11"/>
        <v>1</v>
      </c>
      <c r="T5" s="3" t="str">
        <f t="shared" si="12"/>
        <v/>
      </c>
      <c r="U5" s="3">
        <f t="shared" si="13"/>
        <v>6</v>
      </c>
    </row>
    <row r="6">
      <c r="A6" s="2">
        <v>5.0</v>
      </c>
      <c r="B6" s="2" t="s">
        <v>6</v>
      </c>
      <c r="C6" s="2" t="s">
        <v>7</v>
      </c>
      <c r="D6" s="2">
        <v>15.0</v>
      </c>
      <c r="E6" s="2">
        <v>6.0</v>
      </c>
      <c r="F6" s="3" t="str">
        <f t="shared" si="1"/>
        <v>Red</v>
      </c>
      <c r="G6" s="2">
        <v>2.0</v>
      </c>
      <c r="H6" s="2">
        <v>2.0</v>
      </c>
      <c r="I6" s="4"/>
      <c r="J6" s="3">
        <f t="shared" si="2"/>
        <v>2</v>
      </c>
      <c r="K6" s="3">
        <f t="shared" si="3"/>
        <v>0</v>
      </c>
      <c r="L6" s="3" t="str">
        <f t="shared" si="4"/>
        <v/>
      </c>
      <c r="M6" s="3" t="str">
        <f t="shared" si="5"/>
        <v>Red</v>
      </c>
      <c r="N6" s="3" t="str">
        <f t="shared" si="6"/>
        <v>Blue</v>
      </c>
      <c r="O6" s="3" t="str">
        <f t="shared" si="7"/>
        <v>None</v>
      </c>
      <c r="P6" s="3" t="b">
        <f t="shared" si="8"/>
        <v>1</v>
      </c>
      <c r="Q6" s="3" t="b">
        <f t="shared" si="9"/>
        <v>0</v>
      </c>
      <c r="R6" s="3" t="b">
        <f t="shared" si="10"/>
        <v>0</v>
      </c>
      <c r="S6" s="3">
        <f t="shared" si="11"/>
        <v>2</v>
      </c>
      <c r="T6" s="3">
        <f t="shared" si="12"/>
        <v>2</v>
      </c>
      <c r="U6" s="3" t="str">
        <f t="shared" si="13"/>
        <v/>
      </c>
    </row>
    <row r="7">
      <c r="A7" s="2">
        <v>6.0</v>
      </c>
      <c r="B7" s="2" t="s">
        <v>7</v>
      </c>
      <c r="C7" s="6" t="s">
        <v>8</v>
      </c>
      <c r="D7" s="2">
        <v>4.0</v>
      </c>
      <c r="E7" s="2">
        <v>20.0</v>
      </c>
      <c r="F7" s="3" t="str">
        <f t="shared" si="1"/>
        <v>Blue</v>
      </c>
      <c r="G7" s="2">
        <v>3.0</v>
      </c>
      <c r="H7" s="2">
        <v>4.0</v>
      </c>
      <c r="I7" s="4"/>
      <c r="J7" s="3" t="str">
        <f t="shared" si="2"/>
        <v/>
      </c>
      <c r="K7" s="3">
        <f t="shared" si="3"/>
        <v>0</v>
      </c>
      <c r="L7" s="3">
        <f t="shared" si="4"/>
        <v>2</v>
      </c>
      <c r="M7" s="3" t="str">
        <f t="shared" si="5"/>
        <v>None</v>
      </c>
      <c r="N7" s="3" t="str">
        <f t="shared" si="6"/>
        <v>Red</v>
      </c>
      <c r="O7" s="3" t="str">
        <f t="shared" si="7"/>
        <v>Blue</v>
      </c>
      <c r="P7" s="3" t="b">
        <f t="shared" si="8"/>
        <v>0</v>
      </c>
      <c r="Q7" s="3" t="b">
        <f t="shared" si="9"/>
        <v>0</v>
      </c>
      <c r="R7" s="3" t="b">
        <f t="shared" si="10"/>
        <v>1</v>
      </c>
      <c r="S7" s="3" t="str">
        <f t="shared" si="11"/>
        <v/>
      </c>
      <c r="T7" s="3">
        <f t="shared" si="12"/>
        <v>3</v>
      </c>
      <c r="U7" s="3">
        <f t="shared" si="13"/>
        <v>4</v>
      </c>
    </row>
    <row r="8">
      <c r="A8" s="2">
        <v>7.0</v>
      </c>
      <c r="B8" s="6" t="s">
        <v>8</v>
      </c>
      <c r="C8" s="2" t="s">
        <v>6</v>
      </c>
      <c r="D8" s="2">
        <v>4.0</v>
      </c>
      <c r="E8" s="2">
        <v>20.0</v>
      </c>
      <c r="F8" s="3" t="str">
        <f t="shared" si="1"/>
        <v>Blue</v>
      </c>
      <c r="G8" s="2">
        <v>5.0</v>
      </c>
      <c r="H8" s="2">
        <v>7.0</v>
      </c>
      <c r="I8" s="4"/>
      <c r="J8" s="3">
        <f t="shared" si="2"/>
        <v>2</v>
      </c>
      <c r="K8" s="3" t="str">
        <f t="shared" si="3"/>
        <v/>
      </c>
      <c r="L8" s="3">
        <f t="shared" si="4"/>
        <v>0</v>
      </c>
      <c r="M8" s="3" t="str">
        <f t="shared" si="5"/>
        <v>Blue</v>
      </c>
      <c r="N8" s="3" t="str">
        <f t="shared" si="6"/>
        <v>None</v>
      </c>
      <c r="O8" s="3" t="str">
        <f t="shared" si="7"/>
        <v>Red</v>
      </c>
      <c r="P8" s="3" t="b">
        <f t="shared" si="8"/>
        <v>1</v>
      </c>
      <c r="Q8" s="3" t="b">
        <f t="shared" si="9"/>
        <v>0</v>
      </c>
      <c r="R8" s="3" t="b">
        <f t="shared" si="10"/>
        <v>0</v>
      </c>
      <c r="S8" s="3">
        <f t="shared" si="11"/>
        <v>7</v>
      </c>
      <c r="T8" s="3" t="str">
        <f t="shared" si="12"/>
        <v/>
      </c>
      <c r="U8" s="3">
        <f t="shared" si="13"/>
        <v>5</v>
      </c>
    </row>
    <row r="9">
      <c r="A9" s="2">
        <v>8.0</v>
      </c>
      <c r="B9" s="2" t="s">
        <v>6</v>
      </c>
      <c r="C9" s="2" t="s">
        <v>7</v>
      </c>
      <c r="D9" s="2">
        <v>7.0</v>
      </c>
      <c r="E9" s="2">
        <v>8.0</v>
      </c>
      <c r="F9" s="3" t="str">
        <f t="shared" si="1"/>
        <v>Blue</v>
      </c>
      <c r="G9" s="2">
        <v>9.0</v>
      </c>
      <c r="H9" s="2">
        <v>10.0</v>
      </c>
      <c r="I9" s="4"/>
      <c r="J9" s="3">
        <f t="shared" si="2"/>
        <v>0</v>
      </c>
      <c r="K9" s="3">
        <f t="shared" si="3"/>
        <v>2</v>
      </c>
      <c r="L9" s="3" t="str">
        <f t="shared" si="4"/>
        <v/>
      </c>
      <c r="M9" s="3" t="str">
        <f t="shared" si="5"/>
        <v>Red</v>
      </c>
      <c r="N9" s="3" t="str">
        <f t="shared" si="6"/>
        <v>Blue</v>
      </c>
      <c r="O9" s="3" t="str">
        <f t="shared" si="7"/>
        <v>None</v>
      </c>
      <c r="P9" s="3" t="b">
        <f t="shared" si="8"/>
        <v>0</v>
      </c>
      <c r="Q9" s="3" t="b">
        <f t="shared" si="9"/>
        <v>1</v>
      </c>
      <c r="R9" s="3" t="b">
        <f t="shared" si="10"/>
        <v>0</v>
      </c>
      <c r="S9" s="3">
        <f t="shared" si="11"/>
        <v>9</v>
      </c>
      <c r="T9" s="3">
        <f t="shared" si="12"/>
        <v>10</v>
      </c>
      <c r="U9" s="3" t="str">
        <f t="shared" si="13"/>
        <v/>
      </c>
    </row>
    <row r="10">
      <c r="A10" s="2">
        <v>9.0</v>
      </c>
      <c r="B10" s="2" t="s">
        <v>7</v>
      </c>
      <c r="C10" s="6" t="s">
        <v>8</v>
      </c>
      <c r="D10" s="2">
        <v>9.0</v>
      </c>
      <c r="E10" s="2">
        <v>11.0</v>
      </c>
      <c r="F10" s="3" t="str">
        <f t="shared" si="1"/>
        <v>Blue</v>
      </c>
      <c r="G10" s="2">
        <v>11.0</v>
      </c>
      <c r="H10" s="2">
        <v>12.0</v>
      </c>
      <c r="I10" s="4"/>
      <c r="J10" s="3" t="str">
        <f t="shared" si="2"/>
        <v/>
      </c>
      <c r="K10" s="3">
        <f t="shared" si="3"/>
        <v>0</v>
      </c>
      <c r="L10" s="3">
        <f t="shared" si="4"/>
        <v>2</v>
      </c>
      <c r="M10" s="3" t="str">
        <f t="shared" si="5"/>
        <v>None</v>
      </c>
      <c r="N10" s="3" t="str">
        <f t="shared" si="6"/>
        <v>Red</v>
      </c>
      <c r="O10" s="3" t="str">
        <f t="shared" si="7"/>
        <v>Blue</v>
      </c>
      <c r="P10" s="3" t="b">
        <f t="shared" si="8"/>
        <v>0</v>
      </c>
      <c r="Q10" s="3" t="b">
        <f t="shared" si="9"/>
        <v>0</v>
      </c>
      <c r="R10" s="3" t="b">
        <f t="shared" si="10"/>
        <v>1</v>
      </c>
      <c r="S10" s="3" t="str">
        <f t="shared" si="11"/>
        <v/>
      </c>
      <c r="T10" s="3">
        <f t="shared" si="12"/>
        <v>11</v>
      </c>
      <c r="U10" s="3">
        <f t="shared" si="13"/>
        <v>12</v>
      </c>
    </row>
    <row r="11">
      <c r="A11" s="2">
        <v>10.0</v>
      </c>
      <c r="B11" s="6" t="s">
        <v>8</v>
      </c>
      <c r="C11" s="2" t="s">
        <v>6</v>
      </c>
      <c r="D11" s="2">
        <v>12.0</v>
      </c>
      <c r="E11" s="2">
        <v>23.0</v>
      </c>
      <c r="F11" s="3" t="str">
        <f t="shared" si="1"/>
        <v>Blue</v>
      </c>
      <c r="G11" s="2">
        <v>0.0</v>
      </c>
      <c r="H11" s="2">
        <v>2.0</v>
      </c>
      <c r="I11" s="4"/>
      <c r="J11" s="3">
        <f t="shared" si="2"/>
        <v>2</v>
      </c>
      <c r="K11" s="3" t="str">
        <f t="shared" si="3"/>
        <v/>
      </c>
      <c r="L11" s="3">
        <f t="shared" si="4"/>
        <v>0</v>
      </c>
      <c r="M11" s="3" t="str">
        <f t="shared" si="5"/>
        <v>Blue</v>
      </c>
      <c r="N11" s="3" t="str">
        <f t="shared" si="6"/>
        <v>None</v>
      </c>
      <c r="O11" s="3" t="str">
        <f t="shared" si="7"/>
        <v>Red</v>
      </c>
      <c r="P11" s="3" t="b">
        <f t="shared" si="8"/>
        <v>1</v>
      </c>
      <c r="Q11" s="3" t="b">
        <f t="shared" si="9"/>
        <v>0</v>
      </c>
      <c r="R11" s="3" t="b">
        <f t="shared" si="10"/>
        <v>0</v>
      </c>
      <c r="S11" s="3">
        <f t="shared" si="11"/>
        <v>2</v>
      </c>
      <c r="T11" s="3" t="str">
        <f t="shared" si="12"/>
        <v/>
      </c>
      <c r="U11" s="3">
        <f t="shared" si="13"/>
        <v>0</v>
      </c>
    </row>
    <row r="12">
      <c r="A12" s="2">
        <v>11.0</v>
      </c>
      <c r="B12" s="2" t="s">
        <v>6</v>
      </c>
      <c r="C12" s="2" t="s">
        <v>7</v>
      </c>
      <c r="D12" s="2">
        <v>56.0</v>
      </c>
      <c r="E12" s="2">
        <v>89.0</v>
      </c>
      <c r="F12" s="3" t="str">
        <f t="shared" si="1"/>
        <v>Blue</v>
      </c>
      <c r="G12" s="2">
        <v>1.0</v>
      </c>
      <c r="H12" s="2">
        <v>2.0</v>
      </c>
      <c r="I12" s="4"/>
      <c r="J12" s="3">
        <f t="shared" si="2"/>
        <v>0</v>
      </c>
      <c r="K12" s="3">
        <f t="shared" si="3"/>
        <v>2</v>
      </c>
      <c r="L12" s="3" t="str">
        <f t="shared" si="4"/>
        <v/>
      </c>
      <c r="M12" s="3" t="str">
        <f t="shared" si="5"/>
        <v>Red</v>
      </c>
      <c r="N12" s="3" t="str">
        <f t="shared" si="6"/>
        <v>Blue</v>
      </c>
      <c r="O12" s="3" t="str">
        <f t="shared" si="7"/>
        <v>None</v>
      </c>
      <c r="P12" s="3" t="b">
        <f t="shared" si="8"/>
        <v>0</v>
      </c>
      <c r="Q12" s="3" t="b">
        <f t="shared" si="9"/>
        <v>1</v>
      </c>
      <c r="R12" s="3" t="b">
        <f t="shared" si="10"/>
        <v>0</v>
      </c>
      <c r="S12" s="3">
        <f t="shared" si="11"/>
        <v>1</v>
      </c>
      <c r="T12" s="3">
        <f t="shared" si="12"/>
        <v>2</v>
      </c>
      <c r="U12" s="3" t="str">
        <f t="shared" si="13"/>
        <v/>
      </c>
    </row>
    <row r="13">
      <c r="A13" s="2">
        <v>12.0</v>
      </c>
      <c r="B13" s="2" t="s">
        <v>7</v>
      </c>
      <c r="C13" s="6" t="s">
        <v>8</v>
      </c>
      <c r="D13" s="2">
        <v>0.0</v>
      </c>
      <c r="E13" s="2">
        <v>1.0</v>
      </c>
      <c r="F13" s="3" t="str">
        <f t="shared" si="1"/>
        <v>Blue</v>
      </c>
      <c r="G13" s="2">
        <v>4.0</v>
      </c>
      <c r="H13" s="2">
        <v>5.0</v>
      </c>
      <c r="I13" s="4"/>
      <c r="J13" s="3" t="str">
        <f t="shared" si="2"/>
        <v/>
      </c>
      <c r="K13" s="3">
        <f t="shared" si="3"/>
        <v>0</v>
      </c>
      <c r="L13" s="3">
        <f t="shared" si="4"/>
        <v>2</v>
      </c>
      <c r="M13" s="3" t="str">
        <f t="shared" si="5"/>
        <v>None</v>
      </c>
      <c r="N13" s="3" t="str">
        <f t="shared" si="6"/>
        <v>Red</v>
      </c>
      <c r="O13" s="3" t="str">
        <f t="shared" si="7"/>
        <v>Blue</v>
      </c>
      <c r="P13" s="3" t="b">
        <f t="shared" si="8"/>
        <v>0</v>
      </c>
      <c r="Q13" s="3" t="b">
        <f t="shared" si="9"/>
        <v>0</v>
      </c>
      <c r="R13" s="3" t="b">
        <f t="shared" si="10"/>
        <v>1</v>
      </c>
      <c r="S13" s="3" t="str">
        <f t="shared" si="11"/>
        <v/>
      </c>
      <c r="T13" s="3">
        <f t="shared" si="12"/>
        <v>4</v>
      </c>
      <c r="U13" s="3">
        <f t="shared" si="13"/>
        <v>5</v>
      </c>
    </row>
    <row r="14">
      <c r="I14" s="4"/>
      <c r="J14" s="1" t="s">
        <v>24</v>
      </c>
      <c r="K14" s="1" t="s">
        <v>24</v>
      </c>
      <c r="L14" s="1" t="s">
        <v>24</v>
      </c>
      <c r="S14" s="1" t="s">
        <v>31</v>
      </c>
      <c r="T14" s="1" t="s">
        <v>31</v>
      </c>
      <c r="U14" s="1" t="s">
        <v>31</v>
      </c>
    </row>
    <row r="15">
      <c r="I15" s="4"/>
      <c r="J15" s="3">
        <f t="shared" ref="J15:L15" si="14">IF(AND(J5="",J6=""),"",AVERAGE(J5:J13))</f>
        <v>1.333333333</v>
      </c>
      <c r="K15" s="3">
        <f t="shared" si="14"/>
        <v>0.6666666667</v>
      </c>
      <c r="L15" s="3">
        <f t="shared" si="14"/>
        <v>1</v>
      </c>
      <c r="S15" s="3">
        <f t="shared" ref="S15:U15" si="15">IF(AND(S5="",S6=""),"",AVERAGE(S5:S13))</f>
        <v>3.666666667</v>
      </c>
      <c r="T15" s="3">
        <f t="shared" si="15"/>
        <v>5.333333333</v>
      </c>
      <c r="U15" s="3">
        <f t="shared" si="15"/>
        <v>5.333333333</v>
      </c>
    </row>
    <row r="16">
      <c r="I16" s="4"/>
    </row>
    <row r="17">
      <c r="I17" s="4"/>
    </row>
    <row r="18">
      <c r="I18" s="4"/>
    </row>
    <row r="19">
      <c r="I19" s="4"/>
    </row>
    <row r="20">
      <c r="I20" s="4"/>
    </row>
    <row r="21">
      <c r="I21" s="4"/>
    </row>
    <row r="22">
      <c r="I22" s="4"/>
    </row>
    <row r="23">
      <c r="I23" s="4"/>
    </row>
    <row r="24">
      <c r="I24" s="4"/>
    </row>
    <row r="25">
      <c r="I25" s="4"/>
    </row>
    <row r="26">
      <c r="I26" s="4"/>
    </row>
    <row r="27">
      <c r="I27" s="4"/>
    </row>
    <row r="28">
      <c r="I28" s="4"/>
    </row>
    <row r="29">
      <c r="I29" s="4"/>
    </row>
    <row r="30">
      <c r="I30" s="4"/>
    </row>
    <row r="31">
      <c r="I31" s="4"/>
    </row>
    <row r="32">
      <c r="I32" s="4"/>
    </row>
    <row r="33">
      <c r="I33" s="4"/>
    </row>
    <row r="34">
      <c r="I34" s="4"/>
    </row>
    <row r="35">
      <c r="I35" s="4"/>
    </row>
    <row r="36">
      <c r="I36" s="4"/>
    </row>
    <row r="37">
      <c r="I37" s="4"/>
    </row>
    <row r="38">
      <c r="I38" s="4"/>
    </row>
    <row r="39">
      <c r="I39" s="4"/>
    </row>
    <row r="40">
      <c r="I40" s="4"/>
    </row>
    <row r="41">
      <c r="I41" s="4"/>
    </row>
    <row r="42">
      <c r="I42" s="4"/>
    </row>
    <row r="43">
      <c r="I43" s="4"/>
    </row>
    <row r="44">
      <c r="I44" s="4"/>
    </row>
    <row r="45">
      <c r="I45" s="4"/>
    </row>
    <row r="46">
      <c r="I46" s="4"/>
    </row>
    <row r="47">
      <c r="I47" s="4"/>
    </row>
    <row r="48">
      <c r="I48" s="4"/>
    </row>
    <row r="49">
      <c r="I49" s="4"/>
    </row>
    <row r="50">
      <c r="I50" s="4"/>
    </row>
    <row r="51">
      <c r="I51" s="4"/>
    </row>
    <row r="52">
      <c r="I52" s="4"/>
    </row>
    <row r="53">
      <c r="I53" s="4"/>
    </row>
    <row r="54">
      <c r="I54" s="4"/>
    </row>
    <row r="55">
      <c r="I55" s="4"/>
    </row>
    <row r="56">
      <c r="I56" s="4"/>
    </row>
    <row r="57">
      <c r="I57" s="4"/>
    </row>
    <row r="58">
      <c r="I58" s="4"/>
    </row>
    <row r="59">
      <c r="I59" s="4"/>
    </row>
    <row r="60">
      <c r="I60" s="4"/>
    </row>
    <row r="61">
      <c r="I61" s="4"/>
    </row>
    <row r="62">
      <c r="I62" s="4"/>
    </row>
    <row r="63">
      <c r="I63" s="4"/>
    </row>
    <row r="64">
      <c r="I64" s="4"/>
    </row>
    <row r="65">
      <c r="I65" s="4"/>
    </row>
    <row r="66">
      <c r="I66" s="4"/>
    </row>
    <row r="67">
      <c r="I67" s="4"/>
    </row>
    <row r="68">
      <c r="I68" s="4"/>
    </row>
    <row r="69">
      <c r="I69" s="4"/>
    </row>
    <row r="70">
      <c r="I70" s="4"/>
    </row>
    <row r="71">
      <c r="I71" s="4"/>
    </row>
    <row r="72">
      <c r="I72" s="4"/>
    </row>
    <row r="73">
      <c r="I73" s="4"/>
    </row>
    <row r="74">
      <c r="I74" s="4"/>
    </row>
    <row r="75">
      <c r="I75" s="4"/>
    </row>
    <row r="76">
      <c r="I76" s="4"/>
    </row>
    <row r="77">
      <c r="I77" s="4"/>
    </row>
    <row r="78">
      <c r="I78" s="4"/>
    </row>
    <row r="79">
      <c r="I79" s="4"/>
    </row>
    <row r="80">
      <c r="I80" s="4"/>
    </row>
    <row r="81">
      <c r="I81" s="4"/>
    </row>
    <row r="82">
      <c r="I82" s="4"/>
    </row>
    <row r="83">
      <c r="I83" s="4"/>
    </row>
    <row r="84">
      <c r="I84" s="4"/>
    </row>
    <row r="85">
      <c r="I85" s="4"/>
    </row>
    <row r="86">
      <c r="I86" s="4"/>
    </row>
    <row r="87">
      <c r="I87" s="4"/>
    </row>
    <row r="88">
      <c r="I88" s="4"/>
    </row>
    <row r="89">
      <c r="I89" s="4"/>
    </row>
    <row r="90">
      <c r="I90" s="4"/>
    </row>
    <row r="91">
      <c r="I91" s="4"/>
    </row>
    <row r="92">
      <c r="I92" s="4"/>
    </row>
    <row r="93">
      <c r="I93" s="4"/>
    </row>
    <row r="94">
      <c r="I94" s="4"/>
    </row>
    <row r="95">
      <c r="I95" s="4"/>
    </row>
    <row r="96">
      <c r="I96" s="4"/>
    </row>
    <row r="97">
      <c r="I97" s="4"/>
    </row>
    <row r="98">
      <c r="I98" s="4"/>
    </row>
    <row r="99">
      <c r="I99" s="4"/>
    </row>
    <row r="100">
      <c r="I100" s="4"/>
    </row>
    <row r="101">
      <c r="I101" s="4"/>
    </row>
    <row r="102">
      <c r="I102" s="4"/>
    </row>
    <row r="103">
      <c r="I103" s="4"/>
    </row>
    <row r="104">
      <c r="I104" s="4"/>
    </row>
    <row r="105">
      <c r="I105" s="4"/>
    </row>
    <row r="106">
      <c r="I106" s="4"/>
    </row>
    <row r="107">
      <c r="I107" s="4"/>
    </row>
    <row r="108">
      <c r="I108" s="4"/>
    </row>
    <row r="109">
      <c r="I109" s="4"/>
    </row>
    <row r="110">
      <c r="I110" s="4"/>
    </row>
    <row r="111">
      <c r="I111" s="4"/>
    </row>
    <row r="112">
      <c r="I112" s="4"/>
    </row>
    <row r="113">
      <c r="I113" s="4"/>
    </row>
    <row r="114">
      <c r="I114" s="4"/>
    </row>
    <row r="115">
      <c r="I115" s="4"/>
    </row>
    <row r="116">
      <c r="I116" s="4"/>
    </row>
    <row r="117">
      <c r="I117" s="4"/>
    </row>
    <row r="118">
      <c r="I118" s="4"/>
    </row>
    <row r="119">
      <c r="I119" s="4"/>
    </row>
    <row r="120">
      <c r="I120" s="4"/>
    </row>
    <row r="121">
      <c r="I121" s="4"/>
    </row>
    <row r="122">
      <c r="I122" s="4"/>
    </row>
    <row r="123">
      <c r="I123" s="4"/>
    </row>
    <row r="124">
      <c r="I124" s="4"/>
    </row>
    <row r="125">
      <c r="I125" s="4"/>
    </row>
    <row r="126">
      <c r="I126" s="4"/>
    </row>
    <row r="127">
      <c r="I127" s="4"/>
    </row>
    <row r="128">
      <c r="I128" s="4"/>
    </row>
    <row r="129">
      <c r="I129" s="4"/>
    </row>
    <row r="130">
      <c r="I130" s="4"/>
    </row>
    <row r="131">
      <c r="I131" s="4"/>
    </row>
    <row r="132">
      <c r="I132" s="4"/>
    </row>
    <row r="133">
      <c r="I133" s="4"/>
    </row>
    <row r="134">
      <c r="I134" s="4"/>
    </row>
    <row r="135">
      <c r="I135" s="4"/>
    </row>
    <row r="136">
      <c r="I136" s="4"/>
    </row>
    <row r="137">
      <c r="I137" s="4"/>
    </row>
    <row r="138">
      <c r="I138" s="4"/>
    </row>
    <row r="139">
      <c r="I139" s="4"/>
    </row>
    <row r="140">
      <c r="I140" s="4"/>
    </row>
    <row r="141">
      <c r="I141" s="4"/>
    </row>
    <row r="142">
      <c r="I142" s="4"/>
    </row>
    <row r="143">
      <c r="I143" s="4"/>
    </row>
    <row r="144">
      <c r="I144" s="4"/>
    </row>
    <row r="145">
      <c r="I145" s="4"/>
    </row>
    <row r="146">
      <c r="I146" s="4"/>
    </row>
    <row r="147">
      <c r="I147" s="4"/>
    </row>
    <row r="148">
      <c r="I148" s="4"/>
    </row>
    <row r="149">
      <c r="I149" s="4"/>
    </row>
    <row r="150">
      <c r="I150" s="4"/>
    </row>
    <row r="151">
      <c r="I151" s="4"/>
    </row>
    <row r="152">
      <c r="I152" s="4"/>
    </row>
    <row r="153">
      <c r="I153" s="4"/>
    </row>
    <row r="154">
      <c r="I154" s="4"/>
    </row>
    <row r="155">
      <c r="I155" s="4"/>
    </row>
    <row r="156">
      <c r="I156" s="4"/>
    </row>
    <row r="157">
      <c r="I157" s="4"/>
    </row>
    <row r="158">
      <c r="I158" s="4"/>
    </row>
    <row r="159">
      <c r="I159" s="4"/>
    </row>
    <row r="160">
      <c r="I160" s="4"/>
    </row>
    <row r="161">
      <c r="I161" s="4"/>
    </row>
    <row r="162">
      <c r="I162" s="4"/>
    </row>
    <row r="163">
      <c r="I163" s="4"/>
    </row>
    <row r="164">
      <c r="I164" s="4"/>
    </row>
    <row r="165">
      <c r="I165" s="4"/>
    </row>
    <row r="166">
      <c r="I166" s="4"/>
    </row>
    <row r="167">
      <c r="I167" s="4"/>
    </row>
    <row r="168">
      <c r="I168" s="4"/>
    </row>
    <row r="169">
      <c r="I169" s="4"/>
    </row>
    <row r="170">
      <c r="I170" s="4"/>
    </row>
    <row r="171">
      <c r="I171" s="4"/>
    </row>
  </sheetData>
  <drawing r:id="rId1"/>
</worksheet>
</file>